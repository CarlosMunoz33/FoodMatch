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DT" sheetId="1" state="visible" r:id="rId3"/>
    <sheet name="ANALISIS INGRES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<sst xmlns="http://schemas.openxmlformats.org/spreadsheetml/2006/main" count="170" uniqueCount="100">
  <si>
    <t xml:space="preserve">EDT- Planilla Estructura de Descomposición de Tareas</t>
  </si>
  <si>
    <t xml:space="preserve">ACTIVIDADES</t>
  </si>
  <si>
    <t xml:space="preserve">Horas por Actividad o entregable</t>
  </si>
  <si>
    <t xml:space="preserve">DICCIONARIO EDT</t>
  </si>
  <si>
    <t xml:space="preserve">Fase Análisis y Planificación</t>
  </si>
  <si>
    <t xml:space="preserve">Días</t>
  </si>
  <si>
    <t xml:space="preserve">JP</t>
  </si>
  <si>
    <t xml:space="preserve">AF</t>
  </si>
  <si>
    <t xml:space="preserve">PG</t>
  </si>
  <si>
    <t xml:space="preserve">DBA</t>
  </si>
  <si>
    <t xml:space="preserve">TS</t>
  </si>
  <si>
    <t xml:space="preserve">DI</t>
  </si>
  <si>
    <t xml:space="preserve">SIGLA</t>
  </si>
  <si>
    <t xml:space="preserve">ROL</t>
  </si>
  <si>
    <t xml:space="preserve">NOMBRE</t>
  </si>
  <si>
    <t xml:space="preserve">COSTO x HORA</t>
  </si>
  <si>
    <t xml:space="preserve">Kick Off</t>
  </si>
  <si>
    <t xml:space="preserve">JEFE DEPROYECTO</t>
  </si>
  <si>
    <t xml:space="preserve">Sebastián Becerra</t>
  </si>
  <si>
    <t xml:space="preserve">Acta de Constitución de Proyecto</t>
  </si>
  <si>
    <t xml:space="preserve">ANALISTA F</t>
  </si>
  <si>
    <t xml:space="preserve">Leinad Muga</t>
  </si>
  <si>
    <t xml:space="preserve">Aprobación del Acta</t>
  </si>
  <si>
    <t xml:space="preserve">PROGRAMADOR</t>
  </si>
  <si>
    <t xml:space="preserve">Carlos Muñoz</t>
  </si>
  <si>
    <t xml:space="preserve">Definición de Requerimientos Generales de Proyecto</t>
  </si>
  <si>
    <t xml:space="preserve">ADMIN. BASE DATOS</t>
  </si>
  <si>
    <t xml:space="preserve">Organización del Equipo</t>
  </si>
  <si>
    <t xml:space="preserve">TESTING</t>
  </si>
  <si>
    <t xml:space="preserve">Fase Diseño </t>
  </si>
  <si>
    <t xml:space="preserve">DI </t>
  </si>
  <si>
    <t xml:space="preserve">DISEÑADOR</t>
  </si>
  <si>
    <t xml:space="preserve">Captura de requerimientos Específicos</t>
  </si>
  <si>
    <t xml:space="preserve">Analisis de Requerimientos</t>
  </si>
  <si>
    <t xml:space="preserve">Diseño de la Solución. Modelamientos</t>
  </si>
  <si>
    <t xml:space="preserve">Propuesta ERS</t>
  </si>
  <si>
    <t xml:space="preserve">Plan de Proyecto</t>
  </si>
  <si>
    <t xml:space="preserve">Fase de Desarrollo</t>
  </si>
  <si>
    <t xml:space="preserve">COSTO POR FASE</t>
  </si>
  <si>
    <t xml:space="preserve">Implementación ambiente de Desarrollo</t>
  </si>
  <si>
    <t xml:space="preserve">Base de Datos (restaurantes, usuarios, evaluaciones)</t>
  </si>
  <si>
    <t xml:space="preserve">Construcción</t>
  </si>
  <si>
    <t xml:space="preserve">Poblamiento Inicial (carga de restaurantes)</t>
  </si>
  <si>
    <t xml:space="preserve">Fase Implementación y Cierre</t>
  </si>
  <si>
    <t xml:space="preserve">Administrador de Usuarios.</t>
  </si>
  <si>
    <t xml:space="preserve">Total HH por Fase</t>
  </si>
  <si>
    <t xml:space="preserve">Registro Cliente y Usuario</t>
  </si>
  <si>
    <t xml:space="preserve">Ficha de Preferencias y Presupuesto del Cliente</t>
  </si>
  <si>
    <t xml:space="preserve">COSTO HH POR ROL</t>
  </si>
  <si>
    <t xml:space="preserve">Inicio Sesión Usuarios mobile y local.</t>
  </si>
  <si>
    <t xml:space="preserve">Validación Usuarios</t>
  </si>
  <si>
    <t xml:space="preserve">Interfaz Sistema Local</t>
  </si>
  <si>
    <t xml:space="preserve">Interfaz Mobile</t>
  </si>
  <si>
    <t xml:space="preserve">Búsqueda y Recomendación Mobile para Usuario Cliente</t>
  </si>
  <si>
    <t xml:space="preserve">Componente de Recomendación</t>
  </si>
  <si>
    <t xml:space="preserve">Formulario de Búsqueda (gustos, presupuesto, ubicación)</t>
  </si>
  <si>
    <t xml:space="preserve">TOTAL HH</t>
  </si>
  <si>
    <t xml:space="preserve">Gestión de Evaluaciones y Puntos para Administrador Restaurante</t>
  </si>
  <si>
    <t xml:space="preserve">Registro de Visita/Evaluación por Restaurante</t>
  </si>
  <si>
    <t xml:space="preserve">Consulta y Comparación de Alternativas</t>
  </si>
  <si>
    <t xml:space="preserve">COSTO POR COMPONENTE CODIFICACION</t>
  </si>
  <si>
    <t xml:space="preserve">Administrador de Catalogación de Restaurantes</t>
  </si>
  <si>
    <t xml:space="preserve">Base de Datos.</t>
  </si>
  <si>
    <t xml:space="preserve">Interfaz Principal Aplicación Mobile</t>
  </si>
  <si>
    <t xml:space="preserve">Interfaz Principal Administrador Restaurante</t>
  </si>
  <si>
    <t xml:space="preserve">Integración del Sistema</t>
  </si>
  <si>
    <t xml:space="preserve">Pruebas Unitarias Componente 1, 2</t>
  </si>
  <si>
    <t xml:space="preserve">TOTAL CODIFICACION</t>
  </si>
  <si>
    <t xml:space="preserve">Pruebas Unitarias Componente 3, 4</t>
  </si>
  <si>
    <t xml:space="preserve">Pruebas Unitarias Componente 5</t>
  </si>
  <si>
    <t xml:space="preserve">Pruebas de Integración</t>
  </si>
  <si>
    <t xml:space="preserve">Migración del Sistema a Producción</t>
  </si>
  <si>
    <t xml:space="preserve">Pruebas de Integración final</t>
  </si>
  <si>
    <t xml:space="preserve">Marcha Blanca</t>
  </si>
  <si>
    <t xml:space="preserve">Capacitación</t>
  </si>
  <si>
    <t xml:space="preserve">Cierre de Proyecto</t>
  </si>
  <si>
    <t xml:space="preserve">Total</t>
  </si>
  <si>
    <t xml:space="preserve">FUENTE DE INFORMACION www.mifuturo.cl / www.universia.cl</t>
  </si>
  <si>
    <t xml:space="preserve">INGENIERIA INFORMÁTICA</t>
  </si>
  <si>
    <t xml:space="preserve">EXPERIENCIA</t>
  </si>
  <si>
    <t xml:space="preserve">(- 2 años)</t>
  </si>
  <si>
    <t xml:space="preserve">(+2 años)</t>
  </si>
  <si>
    <t xml:space="preserve">RESPONS.</t>
  </si>
  <si>
    <t xml:space="preserve">SUELDO</t>
  </si>
  <si>
    <t xml:space="preserve">HH</t>
  </si>
  <si>
    <t xml:space="preserve">Jefe de Proyecto</t>
  </si>
  <si>
    <t xml:space="preserve">x</t>
  </si>
  <si>
    <t xml:space="preserve">Analista Funcional</t>
  </si>
  <si>
    <t xml:space="preserve">Programador</t>
  </si>
  <si>
    <t xml:space="preserve">Desarrollador BD</t>
  </si>
  <si>
    <t xml:space="preserve">Testing</t>
  </si>
  <si>
    <t xml:space="preserve">Diseñador</t>
  </si>
  <si>
    <t xml:space="preserve">Hrs.Sem.</t>
  </si>
  <si>
    <t xml:space="preserve">HRS.Mens.</t>
  </si>
  <si>
    <t xml:space="preserve">Sueldo/180hrs</t>
  </si>
  <si>
    <t xml:space="preserve">PROMEDIO</t>
  </si>
  <si>
    <t xml:space="preserve">INGENIERO</t>
  </si>
  <si>
    <t xml:space="preserve">Ingreso Primer Año</t>
  </si>
  <si>
    <t xml:space="preserve">Ingreso Experiencia</t>
  </si>
  <si>
    <t xml:space="preserve">ANALISTA PROGRAMADOR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</si>
</sst>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 \$* #,##0_ ;_ \$* \-#,##0_ ;_ \$* \-_ ;_ @_ "/>
    <numFmt numFmtId="166" formatCode="General"/>
    <numFmt numFmtId="167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C00000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6"/>
      <color rgb="FFFF0000"/>
      <name val="Calibri"/>
      <family val="2"/>
      <charset val="1"/>
    </font>
    <font>
      <sz val="16"/>
      <color rgb="FFC00000"/>
      <name val="Calibri"/>
      <family val="2"/>
      <charset val="1"/>
    </font>
    <font>
      <sz val="14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5"/>
        <bgColor rgb="FF969696"/>
      </patternFill>
    </fill>
    <fill>
      <patternFill patternType="solid">
        <fgColor theme="4"/>
        <bgColor rgb="FF808080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123840</xdr:colOff>
      <xdr:row>3</xdr:row>
      <xdr:rowOff>38160</xdr:rowOff>
    </xdr:from>
    <xdr:to>
      <xdr:col>16</xdr:col>
      <xdr:colOff>227520</xdr:colOff>
      <xdr:row>15</xdr:row>
      <xdr:rowOff>56160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7139880" y="628560"/>
          <a:ext cx="7350480" cy="218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123840</xdr:colOff>
      <xdr:row>15</xdr:row>
      <xdr:rowOff>28440</xdr:rowOff>
    </xdr:from>
    <xdr:to>
      <xdr:col>9</xdr:col>
      <xdr:colOff>751320</xdr:colOff>
      <xdr:row>21</xdr:row>
      <xdr:rowOff>74880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7139880" y="2790720"/>
          <a:ext cx="2237760" cy="113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114480</xdr:colOff>
      <xdr:row>15</xdr:row>
      <xdr:rowOff>57240</xdr:rowOff>
    </xdr:from>
    <xdr:to>
      <xdr:col>16</xdr:col>
      <xdr:colOff>72000</xdr:colOff>
      <xdr:row>21</xdr:row>
      <xdr:rowOff>56160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9546120" y="2819520"/>
          <a:ext cx="4788720" cy="108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15</xdr:col>
      <xdr:colOff>579960</xdr:colOff>
      <xdr:row>31</xdr:row>
      <xdr:rowOff>141840</xdr:rowOff>
    </xdr:to>
    <xdr:pic>
      <xdr:nvPicPr>
        <xdr:cNvPr id="3" name="Imagen 4" descr=""/>
        <xdr:cNvPicPr/>
      </xdr:nvPicPr>
      <xdr:blipFill>
        <a:blip r:embed="rId4"/>
        <a:stretch/>
      </xdr:blipFill>
      <xdr:spPr>
        <a:xfrm>
          <a:off x="7016040" y="4438800"/>
          <a:ext cx="7021440" cy="140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9</xdr:col>
      <xdr:colOff>494280</xdr:colOff>
      <xdr:row>38</xdr:row>
      <xdr:rowOff>179640</xdr:rowOff>
    </xdr:to>
    <xdr:pic>
      <xdr:nvPicPr>
        <xdr:cNvPr id="4" name="Imagen 5" descr=""/>
        <xdr:cNvPicPr/>
      </xdr:nvPicPr>
      <xdr:blipFill>
        <a:blip r:embed="rId5"/>
        <a:stretch/>
      </xdr:blipFill>
      <xdr:spPr>
        <a:xfrm>
          <a:off x="7016040" y="5886360"/>
          <a:ext cx="2104560" cy="126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552600</xdr:colOff>
      <xdr:row>32</xdr:row>
      <xdr:rowOff>47520</xdr:rowOff>
    </xdr:from>
    <xdr:to>
      <xdr:col>16</xdr:col>
      <xdr:colOff>694440</xdr:colOff>
      <xdr:row>36</xdr:row>
      <xdr:rowOff>55800</xdr:rowOff>
    </xdr:to>
    <xdr:pic>
      <xdr:nvPicPr>
        <xdr:cNvPr id="5" name="Imagen 6" descr=""/>
        <xdr:cNvPicPr/>
      </xdr:nvPicPr>
      <xdr:blipFill>
        <a:blip r:embed="rId6"/>
        <a:stretch/>
      </xdr:blipFill>
      <xdr:spPr>
        <a:xfrm>
          <a:off x="9178920" y="5933880"/>
          <a:ext cx="5778360" cy="73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581040</xdr:colOff>
      <xdr:row>36</xdr:row>
      <xdr:rowOff>104760</xdr:rowOff>
    </xdr:from>
    <xdr:to>
      <xdr:col>16</xdr:col>
      <xdr:colOff>734400</xdr:colOff>
      <xdr:row>38</xdr:row>
      <xdr:rowOff>151200</xdr:rowOff>
    </xdr:to>
    <xdr:pic>
      <xdr:nvPicPr>
        <xdr:cNvPr id="6" name="Imagen 7" descr=""/>
        <xdr:cNvPicPr/>
      </xdr:nvPicPr>
      <xdr:blipFill>
        <a:blip r:embed="rId7"/>
        <a:stretch/>
      </xdr:blipFill>
      <xdr:spPr>
        <a:xfrm>
          <a:off x="9207360" y="6715080"/>
          <a:ext cx="5789880" cy="40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44</xdr:row>
      <xdr:rowOff>47520</xdr:rowOff>
    </xdr:from>
    <xdr:to>
      <xdr:col>17</xdr:col>
      <xdr:colOff>137520</xdr:colOff>
      <xdr:row>50</xdr:row>
      <xdr:rowOff>93960</xdr:rowOff>
    </xdr:to>
    <xdr:pic>
      <xdr:nvPicPr>
        <xdr:cNvPr id="7" name="Imagen 8" descr=""/>
        <xdr:cNvPicPr/>
      </xdr:nvPicPr>
      <xdr:blipFill>
        <a:blip r:embed="rId8"/>
        <a:stretch/>
      </xdr:blipFill>
      <xdr:spPr>
        <a:xfrm>
          <a:off x="7016040" y="8105760"/>
          <a:ext cx="8189280" cy="113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9360</xdr:colOff>
      <xdr:row>51</xdr:row>
      <xdr:rowOff>0</xdr:rowOff>
    </xdr:from>
    <xdr:to>
      <xdr:col>12</xdr:col>
      <xdr:colOff>626760</xdr:colOff>
      <xdr:row>59</xdr:row>
      <xdr:rowOff>179640</xdr:rowOff>
    </xdr:to>
    <xdr:pic>
      <xdr:nvPicPr>
        <xdr:cNvPr id="8" name="Imagen 10" descr=""/>
        <xdr:cNvPicPr/>
      </xdr:nvPicPr>
      <xdr:blipFill>
        <a:blip r:embed="rId9"/>
        <a:stretch/>
      </xdr:blipFill>
      <xdr:spPr>
        <a:xfrm>
          <a:off x="7025400" y="9325080"/>
          <a:ext cx="4643280" cy="1627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43359375" defaultRowHeight="14.25" zeroHeight="false" outlineLevelRow="2" outlineLevelCol="0"/>
  <cols>
    <col collapsed="false" customWidth="true" hidden="false" outlineLevel="0" max="1" min="1" style="1" width="46.71"/>
    <col collapsed="false" customWidth="true" hidden="false" outlineLevel="0" max="2" min="2" style="2" width="10"/>
    <col collapsed="false" customWidth="true" hidden="false" outlineLevel="0" max="3" min="3" style="3" width="11.71"/>
    <col collapsed="false" customWidth="true" hidden="false" outlineLevel="0" max="4" min="4" style="3" width="9.71"/>
    <col collapsed="false" customWidth="true" hidden="false" outlineLevel="0" max="5" min="5" style="3" width="10.57"/>
    <col collapsed="false" customWidth="true" hidden="false" outlineLevel="0" max="6" min="6" style="3" width="8.57"/>
    <col collapsed="false" customWidth="true" hidden="false" outlineLevel="0" max="7" min="7" style="3" width="6.57"/>
    <col collapsed="false" customWidth="false" hidden="false" outlineLevel="0" max="8" min="8" style="3" width="11.43"/>
    <col collapsed="false" customWidth="false" hidden="false" outlineLevel="0" max="10" min="9" style="1" width="11.43"/>
    <col collapsed="false" customWidth="true" hidden="false" outlineLevel="0" max="11" min="11" style="1" width="20.57"/>
    <col collapsed="false" customWidth="true" hidden="false" outlineLevel="0" max="12" min="12" style="1" width="28.86"/>
    <col collapsed="false" customWidth="true" hidden="false" outlineLevel="0" max="13" min="13" style="1" width="17.57"/>
    <col collapsed="false" customWidth="true" hidden="false" outlineLevel="0" max="14" min="14" style="1" width="23.29"/>
    <col collapsed="false" customWidth="false" hidden="false" outlineLevel="0" max="16384" min="15" style="1" width="11.43"/>
  </cols>
  <sheetData>
    <row r="2" customFormat="false" ht="25.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</row>
    <row r="3" s="5" customFormat="true" ht="17.25" hidden="false" customHeight="true" outlineLevel="0" collapsed="false">
      <c r="B3" s="6"/>
      <c r="C3" s="7"/>
      <c r="D3" s="7"/>
      <c r="E3" s="7"/>
      <c r="F3" s="7"/>
      <c r="G3" s="7"/>
      <c r="H3" s="7"/>
    </row>
    <row r="4" s="5" customFormat="true" ht="17.25" hidden="false" customHeight="true" outlineLevel="0" collapsed="false">
      <c r="A4" s="8" t="s">
        <v>1</v>
      </c>
      <c r="B4" s="9"/>
      <c r="C4" s="10" t="s">
        <v>2</v>
      </c>
      <c r="D4" s="10"/>
      <c r="E4" s="10"/>
      <c r="F4" s="10"/>
      <c r="G4" s="10"/>
      <c r="H4" s="10"/>
      <c r="J4" s="11" t="s">
        <v>3</v>
      </c>
      <c r="K4" s="11"/>
      <c r="L4" s="11"/>
    </row>
    <row r="5" customFormat="false" ht="14.25" hidden="false" customHeight="true" outlineLevel="0" collapsed="false">
      <c r="A5" s="12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J5" s="14" t="s">
        <v>12</v>
      </c>
      <c r="K5" s="14" t="s">
        <v>13</v>
      </c>
      <c r="L5" s="14" t="s">
        <v>14</v>
      </c>
      <c r="M5" s="14" t="s">
        <v>15</v>
      </c>
    </row>
    <row r="6" customFormat="false" ht="14.25" hidden="false" customHeight="true" outlineLevel="1" collapsed="false">
      <c r="A6" s="15" t="s">
        <v>16</v>
      </c>
      <c r="B6" s="16" t="n">
        <v>0.5</v>
      </c>
      <c r="C6" s="17" t="n">
        <v>3</v>
      </c>
      <c r="D6" s="17" t="n">
        <v>3</v>
      </c>
      <c r="E6" s="17"/>
      <c r="F6" s="17"/>
      <c r="G6" s="17"/>
      <c r="H6" s="17"/>
      <c r="J6" s="18" t="s">
        <v>6</v>
      </c>
      <c r="K6" s="18" t="s">
        <v>17</v>
      </c>
      <c r="L6" s="18" t="s">
        <v>18</v>
      </c>
      <c r="M6" s="19" t="n">
        <v>10833.3333333333</v>
      </c>
    </row>
    <row r="7" customFormat="false" ht="14.25" hidden="false" customHeight="true" outlineLevel="1" collapsed="false">
      <c r="A7" s="15" t="s">
        <v>19</v>
      </c>
      <c r="B7" s="20" t="n">
        <v>1</v>
      </c>
      <c r="C7" s="17" t="n">
        <v>2</v>
      </c>
      <c r="D7" s="17" t="n">
        <v>1</v>
      </c>
      <c r="E7" s="17"/>
      <c r="F7" s="17"/>
      <c r="G7" s="17"/>
      <c r="H7" s="17"/>
      <c r="J7" s="18" t="s">
        <v>7</v>
      </c>
      <c r="K7" s="18" t="s">
        <v>20</v>
      </c>
      <c r="L7" s="18" t="s">
        <v>21</v>
      </c>
      <c r="M7" s="19" t="n">
        <v>7222.22222222222</v>
      </c>
    </row>
    <row r="8" customFormat="false" ht="14.25" hidden="false" customHeight="true" outlineLevel="1" collapsed="false">
      <c r="A8" s="15" t="s">
        <v>22</v>
      </c>
      <c r="B8" s="20" t="n">
        <v>1</v>
      </c>
      <c r="C8" s="17" t="n">
        <v>1</v>
      </c>
      <c r="D8" s="17"/>
      <c r="E8" s="17"/>
      <c r="F8" s="17"/>
      <c r="G8" s="17"/>
      <c r="H8" s="17"/>
      <c r="J8" s="18" t="s">
        <v>8</v>
      </c>
      <c r="K8" s="18" t="s">
        <v>23</v>
      </c>
      <c r="L8" s="18" t="s">
        <v>24</v>
      </c>
      <c r="M8" s="19" t="n">
        <v>2777.77777777778</v>
      </c>
    </row>
    <row r="9" customFormat="false" ht="14.25" hidden="false" customHeight="true" outlineLevel="1" collapsed="false">
      <c r="A9" s="21" t="s">
        <v>25</v>
      </c>
      <c r="B9" s="20" t="n">
        <v>3</v>
      </c>
      <c r="C9" s="17" t="n">
        <v>1</v>
      </c>
      <c r="D9" s="17" t="n">
        <v>4</v>
      </c>
      <c r="E9" s="17"/>
      <c r="F9" s="17"/>
      <c r="G9" s="17"/>
      <c r="H9" s="17"/>
      <c r="J9" s="18" t="s">
        <v>9</v>
      </c>
      <c r="K9" s="18" t="s">
        <v>26</v>
      </c>
      <c r="L9" s="18" t="s">
        <v>18</v>
      </c>
      <c r="M9" s="19" t="n">
        <v>3611.11111111111</v>
      </c>
    </row>
    <row r="10" customFormat="false" ht="14.25" hidden="false" customHeight="true" outlineLevel="1" collapsed="false">
      <c r="A10" s="15" t="s">
        <v>27</v>
      </c>
      <c r="B10" s="20" t="n">
        <v>1</v>
      </c>
      <c r="C10" s="17" t="n">
        <v>4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J10" s="18" t="s">
        <v>10</v>
      </c>
      <c r="K10" s="18" t="s">
        <v>28</v>
      </c>
      <c r="L10" s="18" t="s">
        <v>24</v>
      </c>
      <c r="M10" s="19" t="n">
        <v>2777.77777777778</v>
      </c>
    </row>
    <row r="11" customFormat="false" ht="14.25" hidden="false" customHeight="true" outlineLevel="0" collapsed="false">
      <c r="A11" s="12" t="s">
        <v>29</v>
      </c>
      <c r="B11" s="13" t="s">
        <v>5</v>
      </c>
      <c r="C11" s="13" t="s">
        <v>6</v>
      </c>
      <c r="D11" s="13" t="s">
        <v>7</v>
      </c>
      <c r="E11" s="13" t="s">
        <v>8</v>
      </c>
      <c r="F11" s="13" t="s">
        <v>9</v>
      </c>
      <c r="G11" s="13" t="s">
        <v>10</v>
      </c>
      <c r="H11" s="13" t="s">
        <v>11</v>
      </c>
      <c r="J11" s="18" t="s">
        <v>30</v>
      </c>
      <c r="K11" s="18" t="s">
        <v>31</v>
      </c>
      <c r="L11" s="18" t="s">
        <v>21</v>
      </c>
      <c r="M11" s="19" t="n">
        <v>2777.77777777778</v>
      </c>
    </row>
    <row r="12" customFormat="false" ht="14.25" hidden="false" customHeight="true" outlineLevel="1" collapsed="false">
      <c r="A12" s="21" t="s">
        <v>32</v>
      </c>
      <c r="B12" s="20" t="n">
        <v>2</v>
      </c>
      <c r="C12" s="17"/>
      <c r="D12" s="17" t="n">
        <v>16</v>
      </c>
      <c r="E12" s="17"/>
      <c r="F12" s="17"/>
      <c r="G12" s="17"/>
      <c r="H12" s="17" t="n">
        <v>2</v>
      </c>
    </row>
    <row r="13" customFormat="false" ht="14.25" hidden="false" customHeight="true" outlineLevel="1" collapsed="false">
      <c r="A13" s="22" t="s">
        <v>33</v>
      </c>
      <c r="B13" s="20" t="n">
        <v>1</v>
      </c>
      <c r="C13" s="17" t="n">
        <v>2</v>
      </c>
      <c r="D13" s="17" t="n">
        <v>8</v>
      </c>
      <c r="E13" s="17" t="n">
        <v>2</v>
      </c>
      <c r="F13" s="17" t="n">
        <v>2</v>
      </c>
      <c r="G13" s="17"/>
      <c r="H13" s="17" t="n">
        <v>2</v>
      </c>
    </row>
    <row r="14" customFormat="false" ht="14.25" hidden="false" customHeight="true" outlineLevel="1" collapsed="false">
      <c r="A14" s="22" t="s">
        <v>34</v>
      </c>
      <c r="B14" s="20" t="n">
        <v>1</v>
      </c>
      <c r="C14" s="17" t="n">
        <v>2</v>
      </c>
      <c r="D14" s="17" t="n">
        <v>8</v>
      </c>
      <c r="E14" s="17" t="n">
        <v>4</v>
      </c>
      <c r="F14" s="17" t="n">
        <v>4</v>
      </c>
      <c r="G14" s="17"/>
      <c r="H14" s="17" t="n">
        <v>4</v>
      </c>
    </row>
    <row r="15" customFormat="false" ht="14.25" hidden="false" customHeight="true" outlineLevel="1" collapsed="false">
      <c r="A15" s="21" t="s">
        <v>35</v>
      </c>
      <c r="B15" s="20" t="n">
        <v>1</v>
      </c>
      <c r="C15" s="17" t="n">
        <v>1</v>
      </c>
      <c r="D15" s="17" t="n">
        <v>8</v>
      </c>
      <c r="E15" s="17"/>
      <c r="F15" s="17"/>
      <c r="G15" s="17"/>
      <c r="H15" s="17"/>
    </row>
    <row r="16" customFormat="false" ht="14.25" hidden="false" customHeight="true" outlineLevel="1" collapsed="false">
      <c r="A16" s="22" t="s">
        <v>36</v>
      </c>
      <c r="B16" s="20" t="n">
        <v>2</v>
      </c>
      <c r="C16" s="17" t="n">
        <v>16</v>
      </c>
      <c r="D16" s="17" t="n">
        <v>2</v>
      </c>
      <c r="E16" s="17"/>
      <c r="F16" s="17"/>
      <c r="G16" s="17"/>
      <c r="H16" s="17"/>
    </row>
    <row r="17" customFormat="false" ht="14.25" hidden="false" customHeight="true" outlineLevel="0" collapsed="false">
      <c r="A17" s="23" t="s">
        <v>37</v>
      </c>
      <c r="B17" s="13" t="s">
        <v>5</v>
      </c>
      <c r="C17" s="13" t="s">
        <v>6</v>
      </c>
      <c r="D17" s="13" t="s">
        <v>7</v>
      </c>
      <c r="E17" s="13" t="s">
        <v>8</v>
      </c>
      <c r="F17" s="13" t="s">
        <v>9</v>
      </c>
      <c r="G17" s="13" t="s">
        <v>10</v>
      </c>
      <c r="H17" s="13" t="s">
        <v>11</v>
      </c>
      <c r="L17" s="24" t="s">
        <v>38</v>
      </c>
      <c r="M17" s="24"/>
    </row>
    <row r="18" customFormat="false" ht="14.25" hidden="false" customHeight="true" outlineLevel="1" collapsed="false">
      <c r="A18" s="25" t="s">
        <v>39</v>
      </c>
      <c r="B18" s="16" t="n">
        <v>1</v>
      </c>
      <c r="C18" s="17" t="n">
        <v>1</v>
      </c>
      <c r="D18" s="17" t="n">
        <v>4</v>
      </c>
      <c r="E18" s="17" t="n">
        <v>4</v>
      </c>
      <c r="F18" s="17" t="n">
        <v>4</v>
      </c>
      <c r="G18" s="17"/>
      <c r="H18" s="17"/>
      <c r="L18" s="26" t="s">
        <v>4</v>
      </c>
      <c r="M18" s="19" t="n">
        <f aca="false">SUM(C6:C10)*M6+SUM(D6:D10)*M7+SUM(E6:E10)*M8+SUM(F6:F10)*M9+SUM(G6:G10)*M10+SUM(H6:H10)*M11</f>
        <v>196111.111111111</v>
      </c>
    </row>
    <row r="19" customFormat="false" ht="14.25" hidden="false" customHeight="true" outlineLevel="1" collapsed="false">
      <c r="A19" s="25" t="s">
        <v>40</v>
      </c>
      <c r="B19" s="20"/>
      <c r="C19" s="17" t="n">
        <v>1</v>
      </c>
      <c r="D19" s="17"/>
      <c r="E19" s="17"/>
      <c r="F19" s="17"/>
      <c r="G19" s="17"/>
      <c r="H19" s="17"/>
      <c r="L19" s="26" t="s">
        <v>29</v>
      </c>
      <c r="M19" s="19" t="n">
        <f aca="false">SUM(C12:C16)*M6+SUM(D12:D16)*M7+SUM(E12:E16)*M8+SUM(F12:F16)*M9+SUM(G12:G16)*M10+SUM(H12:H16)*M11</f>
        <v>591388.888888888</v>
      </c>
    </row>
    <row r="20" customFormat="false" ht="14.25" hidden="false" customHeight="true" outlineLevel="2" collapsed="false">
      <c r="A20" s="27" t="s">
        <v>41</v>
      </c>
      <c r="B20" s="20" t="n">
        <v>3</v>
      </c>
      <c r="C20" s="17"/>
      <c r="D20" s="17" t="n">
        <v>1</v>
      </c>
      <c r="E20" s="17"/>
      <c r="F20" s="17" t="n">
        <v>8</v>
      </c>
      <c r="G20" s="17"/>
      <c r="H20" s="17"/>
      <c r="L20" s="28" t="s">
        <v>37</v>
      </c>
      <c r="M20" s="19" t="n">
        <f aca="false">SUM(C18:C38)*M6+SUM(D18:D38)*M7+SUM(E18:E38)*M8+SUM(F18:F38)*M9+SUM(G18:G38)*M10+SUM(H18:H38)*M11</f>
        <v>1119722.22222222</v>
      </c>
    </row>
    <row r="21" customFormat="false" ht="14.25" hidden="false" customHeight="true" outlineLevel="2" collapsed="false">
      <c r="A21" s="27" t="s">
        <v>42</v>
      </c>
      <c r="B21" s="20" t="n">
        <v>1</v>
      </c>
      <c r="C21" s="17"/>
      <c r="D21" s="17" t="n">
        <v>1</v>
      </c>
      <c r="E21" s="17"/>
      <c r="F21" s="17" t="n">
        <v>2</v>
      </c>
      <c r="G21" s="17" t="n">
        <v>1</v>
      </c>
      <c r="H21" s="17"/>
      <c r="L21" s="26" t="s">
        <v>43</v>
      </c>
      <c r="M21" s="19" t="n">
        <f aca="false">SUM(C43:C51)*M6+SUM(D43:D51)*M7+SUM(E43:E51)*M8+SUM(F43:F51)*M9+SUM(G43:G51)*M10+SUM(H43:H51)*M11</f>
        <v>493333.333333333</v>
      </c>
    </row>
    <row r="22" customFormat="false" ht="18" hidden="false" customHeight="true" outlineLevel="1" collapsed="false">
      <c r="A22" s="25" t="s">
        <v>44</v>
      </c>
      <c r="B22" s="20"/>
      <c r="C22" s="17" t="n">
        <v>1</v>
      </c>
      <c r="D22" s="17"/>
      <c r="E22" s="17"/>
      <c r="F22" s="17"/>
      <c r="G22" s="17"/>
      <c r="H22" s="17"/>
      <c r="L22" s="29" t="s">
        <v>45</v>
      </c>
      <c r="M22" s="30" t="n">
        <f aca="false">SUM(M18:M21)</f>
        <v>2400555.55555555</v>
      </c>
    </row>
    <row r="23" customFormat="false" ht="14.25" hidden="false" customHeight="true" outlineLevel="2" collapsed="false">
      <c r="A23" s="27" t="s">
        <v>46</v>
      </c>
      <c r="B23" s="20" t="n">
        <v>3</v>
      </c>
      <c r="C23" s="17"/>
      <c r="D23" s="17" t="n">
        <v>1</v>
      </c>
      <c r="E23" s="17" t="n">
        <v>8</v>
      </c>
      <c r="F23" s="17" t="n">
        <v>2</v>
      </c>
      <c r="G23" s="17" t="n">
        <v>1</v>
      </c>
      <c r="H23" s="17"/>
    </row>
    <row r="24" customFormat="false" ht="14.25" hidden="false" customHeight="true" outlineLevel="2" collapsed="false">
      <c r="A24" s="27" t="s">
        <v>47</v>
      </c>
      <c r="B24" s="20" t="n">
        <v>2</v>
      </c>
      <c r="C24" s="17"/>
      <c r="D24" s="17" t="n">
        <v>1</v>
      </c>
      <c r="E24" s="17" t="n">
        <v>4</v>
      </c>
      <c r="F24" s="17"/>
      <c r="G24" s="17" t="n">
        <v>1</v>
      </c>
      <c r="H24" s="17" t="n">
        <v>2</v>
      </c>
      <c r="L24" s="24" t="s">
        <v>48</v>
      </c>
      <c r="M24" s="24"/>
    </row>
    <row r="25" customFormat="false" ht="14.25" hidden="false" customHeight="true" outlineLevel="1" collapsed="false">
      <c r="A25" s="25" t="s">
        <v>49</v>
      </c>
      <c r="B25" s="20"/>
      <c r="C25" s="17" t="n">
        <v>1</v>
      </c>
      <c r="D25" s="17"/>
      <c r="E25" s="17"/>
      <c r="F25" s="17"/>
      <c r="G25" s="17"/>
      <c r="H25" s="17"/>
      <c r="L25" s="18" t="s">
        <v>17</v>
      </c>
      <c r="M25" s="19" t="n">
        <f aca="false">C53*M6</f>
        <v>509166.666666665</v>
      </c>
    </row>
    <row r="26" customFormat="false" ht="14.25" hidden="false" customHeight="true" outlineLevel="2" collapsed="false">
      <c r="A26" s="27" t="s">
        <v>50</v>
      </c>
      <c r="B26" s="20" t="n">
        <v>3</v>
      </c>
      <c r="C26" s="17"/>
      <c r="D26" s="17" t="n">
        <v>1</v>
      </c>
      <c r="E26" s="17" t="n">
        <v>8</v>
      </c>
      <c r="F26" s="17"/>
      <c r="G26" s="17" t="n">
        <v>1</v>
      </c>
      <c r="H26" s="17"/>
      <c r="L26" s="18" t="s">
        <v>20</v>
      </c>
      <c r="M26" s="19" t="n">
        <f aca="false">D53*M7</f>
        <v>960555.555555555</v>
      </c>
    </row>
    <row r="27" customFormat="false" ht="14.25" hidden="false" customHeight="true" outlineLevel="2" collapsed="false">
      <c r="A27" s="27" t="s">
        <v>51</v>
      </c>
      <c r="B27" s="20" t="n">
        <v>2</v>
      </c>
      <c r="C27" s="17"/>
      <c r="D27" s="17" t="n">
        <v>1</v>
      </c>
      <c r="E27" s="17" t="n">
        <v>4</v>
      </c>
      <c r="F27" s="17"/>
      <c r="G27" s="17" t="n">
        <v>1</v>
      </c>
      <c r="H27" s="17" t="n">
        <v>4</v>
      </c>
      <c r="L27" s="18" t="s">
        <v>23</v>
      </c>
      <c r="M27" s="19" t="n">
        <f aca="false">E53*M8</f>
        <v>297222.222222223</v>
      </c>
    </row>
    <row r="28" customFormat="false" ht="14.25" hidden="false" customHeight="true" outlineLevel="2" collapsed="false">
      <c r="A28" s="27" t="s">
        <v>52</v>
      </c>
      <c r="B28" s="20" t="n">
        <v>3</v>
      </c>
      <c r="C28" s="17"/>
      <c r="D28" s="17" t="n">
        <v>8</v>
      </c>
      <c r="E28" s="17"/>
      <c r="F28" s="17"/>
      <c r="G28" s="17" t="n">
        <v>1</v>
      </c>
      <c r="H28" s="17" t="n">
        <v>4</v>
      </c>
      <c r="L28" s="18" t="s">
        <v>26</v>
      </c>
      <c r="M28" s="19" t="n">
        <f aca="false">F53*M9</f>
        <v>169722.222222222</v>
      </c>
    </row>
    <row r="29" customFormat="false" ht="14.25" hidden="false" customHeight="true" outlineLevel="1" collapsed="false">
      <c r="A29" s="25" t="s">
        <v>53</v>
      </c>
      <c r="B29" s="20"/>
      <c r="C29" s="17" t="n">
        <v>1</v>
      </c>
      <c r="D29" s="17"/>
      <c r="E29" s="17"/>
      <c r="F29" s="17"/>
      <c r="G29" s="17"/>
      <c r="H29" s="17"/>
      <c r="L29" s="18" t="s">
        <v>28</v>
      </c>
      <c r="M29" s="19" t="n">
        <f aca="false">G53*M10</f>
        <v>283333.333333334</v>
      </c>
    </row>
    <row r="30" customFormat="false" ht="14.25" hidden="false" customHeight="true" outlineLevel="2" collapsed="false">
      <c r="A30" s="27" t="s">
        <v>54</v>
      </c>
      <c r="B30" s="20" t="n">
        <v>5</v>
      </c>
      <c r="C30" s="17"/>
      <c r="D30" s="17" t="n">
        <v>8</v>
      </c>
      <c r="E30" s="17" t="n">
        <v>4</v>
      </c>
      <c r="F30" s="17" t="n">
        <v>2</v>
      </c>
      <c r="G30" s="17" t="n">
        <v>1</v>
      </c>
      <c r="H30" s="17"/>
      <c r="L30" s="18" t="s">
        <v>31</v>
      </c>
      <c r="M30" s="19" t="n">
        <f aca="false">H53*M11</f>
        <v>180555.555555556</v>
      </c>
    </row>
    <row r="31" customFormat="false" ht="18" hidden="false" customHeight="true" outlineLevel="2" collapsed="false">
      <c r="A31" s="27" t="s">
        <v>55</v>
      </c>
      <c r="B31" s="20" t="n">
        <v>2</v>
      </c>
      <c r="C31" s="17"/>
      <c r="D31" s="17" t="n">
        <v>4</v>
      </c>
      <c r="E31" s="17" t="n">
        <v>2</v>
      </c>
      <c r="F31" s="17"/>
      <c r="G31" s="17" t="n">
        <v>1</v>
      </c>
      <c r="H31" s="17"/>
      <c r="L31" s="31" t="s">
        <v>56</v>
      </c>
      <c r="M31" s="30" t="n">
        <f aca="false">SUM(M25:M30)</f>
        <v>2400555.55555555</v>
      </c>
    </row>
    <row r="32" customFormat="false" ht="14.25" hidden="false" customHeight="true" outlineLevel="1" collapsed="false">
      <c r="A32" s="25" t="s">
        <v>57</v>
      </c>
      <c r="B32" s="20"/>
      <c r="C32" s="17" t="n">
        <v>1</v>
      </c>
      <c r="D32" s="17"/>
      <c r="E32" s="17"/>
      <c r="F32" s="17"/>
      <c r="G32" s="17"/>
      <c r="H32" s="17"/>
    </row>
    <row r="33" customFormat="false" ht="14.25" hidden="false" customHeight="true" outlineLevel="2" collapsed="false">
      <c r="A33" s="27" t="s">
        <v>58</v>
      </c>
      <c r="B33" s="20" t="n">
        <v>6</v>
      </c>
      <c r="C33" s="17"/>
      <c r="D33" s="17" t="n">
        <v>2</v>
      </c>
      <c r="E33" s="17" t="n">
        <v>8</v>
      </c>
      <c r="F33" s="17"/>
      <c r="G33" s="17" t="n">
        <v>1</v>
      </c>
      <c r="H33" s="17" t="n">
        <v>2</v>
      </c>
    </row>
    <row r="34" customFormat="false" ht="14.25" hidden="false" customHeight="true" outlineLevel="2" collapsed="false">
      <c r="A34" s="27" t="s">
        <v>59</v>
      </c>
      <c r="B34" s="20" t="n">
        <v>5</v>
      </c>
      <c r="C34" s="17"/>
      <c r="D34" s="17" t="n">
        <v>2</v>
      </c>
      <c r="E34" s="17" t="n">
        <v>8</v>
      </c>
      <c r="F34" s="17" t="n">
        <v>2</v>
      </c>
      <c r="G34" s="17" t="n">
        <v>1</v>
      </c>
      <c r="H34" s="17" t="n">
        <v>2</v>
      </c>
      <c r="L34" s="12" t="s">
        <v>60</v>
      </c>
      <c r="M34" s="32"/>
    </row>
    <row r="35" customFormat="false" ht="14.25" hidden="false" customHeight="true" outlineLevel="2" collapsed="false">
      <c r="A35" s="27" t="s">
        <v>61</v>
      </c>
      <c r="B35" s="20" t="n">
        <v>2</v>
      </c>
      <c r="C35" s="17"/>
      <c r="D35" s="17" t="n">
        <v>8</v>
      </c>
      <c r="E35" s="17" t="n">
        <v>2</v>
      </c>
      <c r="F35" s="17"/>
      <c r="G35" s="17" t="n">
        <v>1</v>
      </c>
      <c r="H35" s="17" t="n">
        <v>2</v>
      </c>
      <c r="L35" s="25" t="s">
        <v>62</v>
      </c>
      <c r="M35" s="19" t="n">
        <f aca="false">SUM(C19:C21)*M6+SUM(D19:D21)*M7+SUM(E19:E21)*M8+SUM(F19:F21)*M9+SUM(G19:G21)*M10+SUM(H19:H21)*M11</f>
        <v>64166.6666666666</v>
      </c>
    </row>
    <row r="36" customFormat="false" ht="14.25" hidden="false" customHeight="true" outlineLevel="1" collapsed="false">
      <c r="A36" s="25" t="s">
        <v>63</v>
      </c>
      <c r="B36" s="20" t="n">
        <v>2</v>
      </c>
      <c r="C36" s="17" t="n">
        <v>1</v>
      </c>
      <c r="D36" s="17" t="n">
        <v>4</v>
      </c>
      <c r="E36" s="17"/>
      <c r="F36" s="17"/>
      <c r="G36" s="17" t="n">
        <v>2</v>
      </c>
      <c r="H36" s="17" t="n">
        <v>16</v>
      </c>
      <c r="L36" s="25" t="s">
        <v>44</v>
      </c>
      <c r="M36" s="19" t="n">
        <f aca="false">SUM(C22:C24)*M7+SUM(D22:D24)*M8+SUM(E22:E24)*M9+SUM(F22:F24)*M10+SUM(G22:G24)*M11+SUM(H22:H24)*M12</f>
        <v>67222.2222222222</v>
      </c>
    </row>
    <row r="37" customFormat="false" ht="14.25" hidden="false" customHeight="true" outlineLevel="1" collapsed="false">
      <c r="A37" s="25" t="s">
        <v>64</v>
      </c>
      <c r="B37" s="20" t="n">
        <v>2</v>
      </c>
      <c r="C37" s="17" t="n">
        <v>1</v>
      </c>
      <c r="D37" s="17" t="n">
        <v>4</v>
      </c>
      <c r="E37" s="17"/>
      <c r="F37" s="17"/>
      <c r="G37" s="17" t="n">
        <v>2</v>
      </c>
      <c r="H37" s="17" t="n">
        <v>16</v>
      </c>
      <c r="L37" s="25" t="s">
        <v>49</v>
      </c>
      <c r="M37" s="19" t="n">
        <f aca="false">SUM(C25:C28)*M6+SUM(D25:D28)*M7+SUM(E25:E28)*M8+SUM(F25:F28)*M9+SUM(G25:G28)*M10+SUM(H25:H28)*M11</f>
        <v>146944.444444444</v>
      </c>
    </row>
    <row r="38" customFormat="false" ht="14.25" hidden="false" customHeight="true" outlineLevel="1" collapsed="false">
      <c r="A38" s="25" t="s">
        <v>65</v>
      </c>
      <c r="B38" s="20" t="n">
        <v>6</v>
      </c>
      <c r="C38" s="17" t="n">
        <v>1</v>
      </c>
      <c r="D38" s="17" t="n">
        <v>12</v>
      </c>
      <c r="E38" s="17" t="n">
        <v>48</v>
      </c>
      <c r="F38" s="17" t="n">
        <v>6</v>
      </c>
      <c r="G38" s="17" t="n">
        <v>6</v>
      </c>
      <c r="H38" s="17" t="n">
        <v>4</v>
      </c>
      <c r="L38" s="25" t="s">
        <v>53</v>
      </c>
      <c r="M38" s="19" t="n">
        <f aca="false">SUM(C29:C31)*M9+SUM(D29:D31)*M10+SUM(E29:E31)*M11+SUM(F29:F31)*M12+SUM(G29:G31)*M13+SUM(H29:H31)*M14</f>
        <v>53611.1111111111</v>
      </c>
    </row>
    <row r="39" customFormat="false" ht="14.25" hidden="false" customHeight="true" outlineLevel="1" collapsed="false">
      <c r="B39" s="20"/>
      <c r="C39" s="17"/>
      <c r="D39" s="17"/>
      <c r="E39" s="17"/>
      <c r="F39" s="17"/>
      <c r="G39" s="17"/>
      <c r="H39" s="17"/>
      <c r="L39" s="25" t="s">
        <v>57</v>
      </c>
      <c r="M39" s="19" t="n">
        <f aca="false">SUM(C33:C35)*M$6+SUM(D33:D35)*M$7+SUM(E33:E35)*M$8+SUM(F33:F35)*M$9+SUM(G33:G35)*M$10+SUM(H33:H35)*M$11</f>
        <v>168888.888888889</v>
      </c>
    </row>
    <row r="40" customFormat="false" ht="14.25" hidden="false" customHeight="true" outlineLevel="1" collapsed="false">
      <c r="A40" s="33"/>
      <c r="B40" s="20"/>
      <c r="C40" s="17"/>
      <c r="D40" s="17"/>
      <c r="E40" s="17"/>
      <c r="F40" s="17"/>
      <c r="G40" s="17"/>
      <c r="H40" s="17"/>
      <c r="L40" s="25" t="s">
        <v>63</v>
      </c>
      <c r="M40" s="19" t="n">
        <f aca="false">SUM(C36)*M$6+SUM(D36)*M$7+SUM(E36)*M$8+SUM(F36)*M$9+SUM(G36)*M$10+SUM(H36)*M$11</f>
        <v>89722.2222222222</v>
      </c>
    </row>
    <row r="41" customFormat="false" ht="14.25" hidden="false" customHeight="true" outlineLevel="1" collapsed="false">
      <c r="B41" s="20"/>
      <c r="C41" s="17"/>
      <c r="D41" s="17"/>
      <c r="E41" s="17"/>
      <c r="F41" s="17"/>
      <c r="G41" s="17"/>
      <c r="H41" s="17"/>
      <c r="L41" s="25" t="s">
        <v>64</v>
      </c>
      <c r="M41" s="19" t="n">
        <f aca="false">SUM(C37)*M$6+SUM(D37)*M$7+SUM(E37)*M$8+SUM(F37)*M$9+SUM(G37)*M$10+SUM(H37)*M$11</f>
        <v>89722.2222222222</v>
      </c>
    </row>
    <row r="42" customFormat="false" ht="14.25" hidden="false" customHeight="true" outlineLevel="0" collapsed="false">
      <c r="A42" s="12" t="s">
        <v>43</v>
      </c>
      <c r="B42" s="13" t="s">
        <v>5</v>
      </c>
      <c r="C42" s="13" t="s">
        <v>6</v>
      </c>
      <c r="D42" s="13" t="s">
        <v>7</v>
      </c>
      <c r="E42" s="13" t="s">
        <v>8</v>
      </c>
      <c r="F42" s="13" t="s">
        <v>9</v>
      </c>
      <c r="G42" s="13" t="s">
        <v>10</v>
      </c>
      <c r="H42" s="13" t="s">
        <v>11</v>
      </c>
      <c r="L42" s="25" t="s">
        <v>65</v>
      </c>
      <c r="M42" s="19" t="n">
        <f aca="false">SUM(C38)*M$6+SUM(D38)*M$7+SUM(E38)*M$8+SUM(F38)*M$9+SUM(G38)*M$10+SUM(H38)*M$11</f>
        <v>280277.777777778</v>
      </c>
    </row>
    <row r="43" customFormat="false" ht="18" hidden="false" customHeight="true" outlineLevel="1" collapsed="false">
      <c r="A43" s="22" t="s">
        <v>66</v>
      </c>
      <c r="B43" s="20" t="n">
        <v>2</v>
      </c>
      <c r="C43" s="17"/>
      <c r="D43" s="17" t="n">
        <v>2</v>
      </c>
      <c r="E43" s="17"/>
      <c r="F43" s="17" t="n">
        <v>1</v>
      </c>
      <c r="G43" s="17" t="n">
        <v>8</v>
      </c>
      <c r="H43" s="17"/>
      <c r="L43" s="31" t="s">
        <v>67</v>
      </c>
      <c r="M43" s="30" t="n">
        <f aca="false">SUM(M35:M42)</f>
        <v>960555.555555556</v>
      </c>
    </row>
    <row r="44" customFormat="false" ht="14.25" hidden="false" customHeight="true" outlineLevel="1" collapsed="false">
      <c r="A44" s="22" t="s">
        <v>68</v>
      </c>
      <c r="B44" s="20" t="n">
        <v>2</v>
      </c>
      <c r="C44" s="17"/>
      <c r="D44" s="17" t="n">
        <v>2</v>
      </c>
      <c r="E44" s="17"/>
      <c r="F44" s="17" t="n">
        <v>1</v>
      </c>
      <c r="G44" s="17" t="n">
        <v>8</v>
      </c>
      <c r="H44" s="17"/>
    </row>
    <row r="45" customFormat="false" ht="14.25" hidden="false" customHeight="true" outlineLevel="1" collapsed="false">
      <c r="A45" s="22" t="s">
        <v>69</v>
      </c>
      <c r="B45" s="20" t="n">
        <v>1</v>
      </c>
      <c r="C45" s="17"/>
      <c r="D45" s="17" t="n">
        <v>1</v>
      </c>
      <c r="E45" s="17"/>
      <c r="F45" s="17" t="n">
        <v>1</v>
      </c>
      <c r="G45" s="17" t="n">
        <v>2</v>
      </c>
      <c r="H45" s="17"/>
    </row>
    <row r="46" customFormat="false" ht="14.25" hidden="false" customHeight="true" outlineLevel="1" collapsed="false">
      <c r="A46" s="22" t="s">
        <v>70</v>
      </c>
      <c r="B46" s="20" t="n">
        <v>2</v>
      </c>
      <c r="C46" s="17" t="n">
        <v>1</v>
      </c>
      <c r="D46" s="17" t="n">
        <v>1</v>
      </c>
      <c r="E46" s="17"/>
      <c r="F46" s="17" t="n">
        <v>1</v>
      </c>
      <c r="G46" s="17" t="n">
        <v>6</v>
      </c>
      <c r="H46" s="17"/>
    </row>
    <row r="47" customFormat="false" ht="14.25" hidden="false" customHeight="true" outlineLevel="1" collapsed="false">
      <c r="A47" s="34" t="s">
        <v>71</v>
      </c>
      <c r="B47" s="20" t="n">
        <v>2</v>
      </c>
      <c r="C47" s="17" t="n">
        <v>1</v>
      </c>
      <c r="D47" s="17" t="n">
        <v>4</v>
      </c>
      <c r="E47" s="17"/>
      <c r="F47" s="17" t="n">
        <v>4</v>
      </c>
      <c r="G47" s="17" t="n">
        <v>8</v>
      </c>
      <c r="H47" s="17" t="n">
        <v>4</v>
      </c>
    </row>
    <row r="48" customFormat="false" ht="14.25" hidden="false" customHeight="true" outlineLevel="1" collapsed="false">
      <c r="A48" s="15" t="s">
        <v>72</v>
      </c>
      <c r="B48" s="20" t="n">
        <v>1</v>
      </c>
      <c r="C48" s="17" t="n">
        <v>1</v>
      </c>
      <c r="D48" s="17" t="n">
        <v>1</v>
      </c>
      <c r="E48" s="17"/>
      <c r="F48" s="17" t="n">
        <v>2</v>
      </c>
      <c r="G48" s="17" t="n">
        <v>4</v>
      </c>
      <c r="H48" s="17"/>
    </row>
    <row r="49" customFormat="false" ht="14.25" hidden="false" customHeight="true" outlineLevel="1" collapsed="false">
      <c r="A49" s="34" t="s">
        <v>73</v>
      </c>
      <c r="B49" s="20" t="n">
        <v>5</v>
      </c>
      <c r="C49" s="17" t="n">
        <v>1</v>
      </c>
      <c r="D49" s="17" t="n">
        <v>5</v>
      </c>
      <c r="E49" s="17"/>
      <c r="F49" s="17" t="n">
        <v>4</v>
      </c>
      <c r="G49" s="17" t="n">
        <v>40</v>
      </c>
      <c r="H49" s="17"/>
    </row>
    <row r="50" customFormat="false" ht="14.25" hidden="false" customHeight="true" outlineLevel="1" collapsed="false">
      <c r="A50" s="34" t="s">
        <v>74</v>
      </c>
      <c r="B50" s="20" t="n">
        <v>1</v>
      </c>
      <c r="C50" s="17"/>
      <c r="D50" s="17" t="n">
        <v>4</v>
      </c>
      <c r="E50" s="17"/>
      <c r="F50" s="17"/>
      <c r="G50" s="17" t="n">
        <v>4</v>
      </c>
      <c r="H50" s="17"/>
    </row>
    <row r="51" customFormat="false" ht="14.25" hidden="false" customHeight="true" outlineLevel="1" collapsed="false">
      <c r="A51" s="35" t="s">
        <v>75</v>
      </c>
      <c r="B51" s="20" t="n">
        <v>0.5</v>
      </c>
      <c r="C51" s="17" t="n">
        <v>2</v>
      </c>
      <c r="D51" s="17"/>
      <c r="E51" s="17"/>
      <c r="F51" s="17"/>
      <c r="G51" s="17"/>
      <c r="H51" s="17"/>
    </row>
    <row r="52" customFormat="false" ht="14.25" hidden="false" customHeight="true" outlineLevel="1" collapsed="false">
      <c r="A52" s="36"/>
      <c r="B52" s="13" t="s">
        <v>5</v>
      </c>
      <c r="C52" s="13" t="s">
        <v>6</v>
      </c>
      <c r="D52" s="13" t="s">
        <v>7</v>
      </c>
      <c r="E52" s="13" t="s">
        <v>8</v>
      </c>
      <c r="F52" s="13" t="s">
        <v>9</v>
      </c>
      <c r="G52" s="13" t="s">
        <v>10</v>
      </c>
      <c r="H52" s="13" t="s">
        <v>11</v>
      </c>
    </row>
    <row r="53" s="40" customFormat="true" ht="36" hidden="false" customHeight="true" outlineLevel="0" collapsed="false">
      <c r="A53" s="37" t="s">
        <v>76</v>
      </c>
      <c r="B53" s="38" t="n">
        <f aca="false">SUM(B6:B50)</f>
        <v>77.5</v>
      </c>
      <c r="C53" s="39" t="n">
        <f aca="false">SUM(C6:C51)</f>
        <v>47</v>
      </c>
      <c r="D53" s="39" t="n">
        <f aca="false">SUM(D6:D51)</f>
        <v>133</v>
      </c>
      <c r="E53" s="39" t="n">
        <f aca="false">SUM(E6:E51)</f>
        <v>107</v>
      </c>
      <c r="F53" s="39" t="n">
        <f aca="false">SUM(F6:F51)</f>
        <v>47</v>
      </c>
      <c r="G53" s="39" t="n">
        <f aca="false">SUM(G6:G51)</f>
        <v>102</v>
      </c>
      <c r="H53" s="39" t="n">
        <f aca="false">SUM(H6:H51)</f>
        <v>65</v>
      </c>
    </row>
  </sheetData>
  <mergeCells count="5">
    <mergeCell ref="A2:H2"/>
    <mergeCell ref="C4:H4"/>
    <mergeCell ref="J4:L4"/>
    <mergeCell ref="L17:M17"/>
    <mergeCell ref="L24:M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42578125" defaultRowHeight="14.25" zeroHeight="false" outlineLevelRow="0" outlineLevelCol="0"/>
  <cols>
    <col collapsed="false" customWidth="true" hidden="false" outlineLevel="0" max="1" min="1" style="41" width="19.42"/>
    <col collapsed="false" customWidth="true" hidden="false" outlineLevel="0" max="2" min="2" style="41" width="17.57"/>
    <col collapsed="false" customWidth="true" hidden="false" outlineLevel="0" max="3" min="3" style="41" width="11.85"/>
    <col collapsed="false" customWidth="true" hidden="false" outlineLevel="0" max="4" min="4" style="41" width="12"/>
    <col collapsed="false" customWidth="true" hidden="false" outlineLevel="0" max="5" min="5" style="41" width="13.86"/>
    <col collapsed="false" customWidth="true" hidden="false" outlineLevel="0" max="7" min="6" style="41" width="12.42"/>
  </cols>
  <sheetData>
    <row r="2" customFormat="false" ht="14.25" hidden="false" customHeight="true" outlineLevel="0" collapsed="false">
      <c r="H2" s="42" t="s">
        <v>77</v>
      </c>
      <c r="I2" s="42"/>
      <c r="J2" s="42"/>
      <c r="K2" s="42"/>
      <c r="L2" s="42"/>
      <c r="M2" s="42"/>
    </row>
    <row r="3" customFormat="false" ht="18" hidden="false" customHeight="true" outlineLevel="0" collapsed="false">
      <c r="H3" s="43" t="s">
        <v>78</v>
      </c>
      <c r="I3" s="43"/>
      <c r="J3" s="43"/>
      <c r="K3" s="43"/>
    </row>
    <row r="4" customFormat="false" ht="14.25" hidden="false" customHeight="true" outlineLevel="0" collapsed="false">
      <c r="C4" s="13" t="s">
        <v>79</v>
      </c>
      <c r="D4" s="13"/>
      <c r="E4" s="13"/>
    </row>
    <row r="5" customFormat="false" ht="14.25" hidden="false" customHeight="true" outlineLevel="0" collapsed="false">
      <c r="A5" s="13" t="s">
        <v>12</v>
      </c>
      <c r="B5" s="13" t="s">
        <v>13</v>
      </c>
      <c r="C5" s="13" t="s">
        <v>80</v>
      </c>
      <c r="D5" s="13" t="s">
        <v>81</v>
      </c>
      <c r="E5" s="13" t="s">
        <v>82</v>
      </c>
      <c r="F5" s="13" t="s">
        <v>83</v>
      </c>
      <c r="G5" s="13" t="s">
        <v>84</v>
      </c>
    </row>
    <row r="6" customFormat="false" ht="14.25" hidden="false" customHeight="true" outlineLevel="0" collapsed="false">
      <c r="A6" s="13" t="s">
        <v>6</v>
      </c>
      <c r="B6" s="44" t="s">
        <v>85</v>
      </c>
      <c r="C6" s="45"/>
      <c r="D6" s="45" t="s">
        <v>86</v>
      </c>
      <c r="E6" s="46" t="n">
        <v>0.5</v>
      </c>
      <c r="F6" s="47" t="n">
        <f aca="false">(C20*E6)+1300000</f>
        <v>1950000</v>
      </c>
      <c r="G6" s="47" t="n">
        <f aca="false">F6/180</f>
        <v>10833.3333333333</v>
      </c>
    </row>
    <row r="7" customFormat="false" ht="14.25" hidden="false" customHeight="true" outlineLevel="0" collapsed="false">
      <c r="A7" s="13" t="s">
        <v>7</v>
      </c>
      <c r="B7" s="44" t="s">
        <v>87</v>
      </c>
      <c r="C7" s="45"/>
      <c r="D7" s="45" t="s">
        <v>86</v>
      </c>
      <c r="E7" s="46" t="n">
        <v>0.3</v>
      </c>
      <c r="F7" s="47" t="n">
        <f aca="false">(C22*E7)+1300000</f>
        <v>1300000</v>
      </c>
      <c r="G7" s="47" t="n">
        <f aca="false">F7/180</f>
        <v>7222.22222222222</v>
      </c>
    </row>
    <row r="8" customFormat="false" ht="14.25" hidden="false" customHeight="true" outlineLevel="0" collapsed="false">
      <c r="A8" s="13" t="s">
        <v>8</v>
      </c>
      <c r="B8" s="44" t="s">
        <v>88</v>
      </c>
      <c r="C8" s="45" t="s">
        <v>86</v>
      </c>
      <c r="D8" s="45"/>
      <c r="E8" s="45"/>
      <c r="F8" s="47" t="n">
        <f aca="false">B19</f>
        <v>500000</v>
      </c>
      <c r="G8" s="47" t="n">
        <f aca="false">F8/180</f>
        <v>2777.77777777778</v>
      </c>
    </row>
    <row r="9" customFormat="false" ht="14.25" hidden="false" customHeight="true" outlineLevel="0" collapsed="false">
      <c r="A9" s="13" t="s">
        <v>9</v>
      </c>
      <c r="B9" s="44" t="s">
        <v>89</v>
      </c>
      <c r="C9" s="45" t="s">
        <v>86</v>
      </c>
      <c r="D9" s="45"/>
      <c r="E9" s="46" t="n">
        <v>0.3</v>
      </c>
      <c r="F9" s="47" t="n">
        <f aca="false">(B19*E9)+500000</f>
        <v>650000</v>
      </c>
      <c r="G9" s="47" t="n">
        <f aca="false">F9/180</f>
        <v>3611.11111111111</v>
      </c>
    </row>
    <row r="10" customFormat="false" ht="14.25" hidden="false" customHeight="true" outlineLevel="0" collapsed="false">
      <c r="A10" s="13" t="s">
        <v>10</v>
      </c>
      <c r="B10" s="44" t="s">
        <v>90</v>
      </c>
      <c r="C10" s="45" t="s">
        <v>86</v>
      </c>
      <c r="D10" s="45"/>
      <c r="E10" s="45"/>
      <c r="F10" s="47" t="n">
        <f aca="false">B19</f>
        <v>500000</v>
      </c>
      <c r="G10" s="47" t="n">
        <f aca="false">F10/180</f>
        <v>2777.77777777778</v>
      </c>
    </row>
    <row r="11" customFormat="false" ht="14.25" hidden="false" customHeight="true" outlineLevel="0" collapsed="false">
      <c r="A11" s="13" t="s">
        <v>11</v>
      </c>
      <c r="B11" s="44" t="s">
        <v>91</v>
      </c>
      <c r="C11" s="45" t="s">
        <v>86</v>
      </c>
      <c r="D11" s="45"/>
      <c r="E11" s="45"/>
      <c r="F11" s="47" t="n">
        <v>500000</v>
      </c>
      <c r="G11" s="47" t="n">
        <f aca="false">F11/180</f>
        <v>2777.77777777778</v>
      </c>
    </row>
    <row r="14" customFormat="false" ht="14.25" hidden="false" customHeight="true" outlineLevel="0" collapsed="false">
      <c r="D14" s="41" t="s">
        <v>92</v>
      </c>
      <c r="E14" s="41" t="n">
        <v>45</v>
      </c>
    </row>
    <row r="15" customFormat="false" ht="14.25" hidden="false" customHeight="true" outlineLevel="0" collapsed="false">
      <c r="D15" s="41" t="s">
        <v>93</v>
      </c>
      <c r="E15" s="41" t="n">
        <f aca="false">E14*4</f>
        <v>180</v>
      </c>
    </row>
    <row r="16" customFormat="false" ht="14.25" hidden="false" customHeight="true" outlineLevel="0" collapsed="false">
      <c r="D16" s="41" t="s">
        <v>84</v>
      </c>
      <c r="E16" s="41" t="s">
        <v>94</v>
      </c>
    </row>
    <row r="18" customFormat="false" ht="14.25" hidden="false" customHeight="true" outlineLevel="0" collapsed="false">
      <c r="A18" s="12" t="s">
        <v>95</v>
      </c>
      <c r="B18" s="12" t="s">
        <v>23</v>
      </c>
      <c r="C18" s="12" t="s">
        <v>96</v>
      </c>
      <c r="D18" s="12" t="s">
        <v>31</v>
      </c>
    </row>
    <row r="19" customFormat="false" ht="14.25" hidden="false" customHeight="true" outlineLevel="0" collapsed="false">
      <c r="A19" s="48" t="s">
        <v>97</v>
      </c>
      <c r="B19" s="47" t="n">
        <v>500000</v>
      </c>
      <c r="C19" s="47" t="n">
        <v>700000</v>
      </c>
      <c r="D19" s="47" t="n">
        <v>500000</v>
      </c>
    </row>
    <row r="20" customFormat="false" ht="14.25" hidden="false" customHeight="true" outlineLevel="0" collapsed="false">
      <c r="A20" s="48" t="s">
        <v>98</v>
      </c>
      <c r="B20" s="47" t="n">
        <v>900000</v>
      </c>
      <c r="C20" s="47" t="n">
        <v>1300000</v>
      </c>
      <c r="D20" s="47" t="n">
        <v>800000</v>
      </c>
    </row>
    <row r="23" customFormat="false" ht="18" hidden="false" customHeight="true" outlineLevel="0" collapsed="false">
      <c r="H23" s="43" t="s">
        <v>99</v>
      </c>
      <c r="I23" s="43"/>
      <c r="J23" s="43"/>
      <c r="K23" s="43"/>
    </row>
    <row r="42" customFormat="false" ht="14.25" hidden="false" customHeight="true" outlineLevel="0" collapsed="false">
      <c r="H42" s="42" t="s">
        <v>31</v>
      </c>
      <c r="I42" s="42"/>
      <c r="J42" s="42"/>
      <c r="K42" s="42"/>
    </row>
  </sheetData>
  <mergeCells count="5">
    <mergeCell ref="H2:M2"/>
    <mergeCell ref="H3:K3"/>
    <mergeCell ref="C4:E4"/>
    <mergeCell ref="H23:K23"/>
    <mergeCell ref="H42:K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  <dc:description/>
  <dc:language>en-US</dc:language>
  <cp:lastModifiedBy>Juanandres Hernandez Aliaga</cp:lastModifiedBy>
  <dcterms:modified xsi:type="dcterms:W3CDTF">2026-09-27T20:55:47Z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