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jemplo1" sheetId="1" state="visible" r:id="rId3"/>
    <sheet name="FoodMatch_Sprin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<sst xmlns="http://schemas.openxmlformats.org/spreadsheetml/2006/main" count="27" uniqueCount="22">
  <si>
    <t xml:space="preserve">Control del Sprint</t>
  </si>
  <si>
    <t xml:space="preserve">Ejemplo1</t>
  </si>
  <si>
    <t xml:space="preserve">Historias de Usuario o Spike</t>
  </si>
  <si>
    <t xml:space="preserve">horas estimadas</t>
  </si>
  <si>
    <t xml:space="preserve">DIA</t>
  </si>
  <si>
    <t xml:space="preserve">Total</t>
  </si>
  <si>
    <t xml:space="preserve">Autenticación de usuarios</t>
  </si>
  <si>
    <t xml:space="preserve">Consultar las ofertas de habitaciones.</t>
  </si>
  <si>
    <t xml:space="preserve">Mantención de datos</t>
  </si>
  <si>
    <t xml:space="preserve">Publicar las ofertas.</t>
  </si>
  <si>
    <t xml:space="preserve">Despublicar las ofertas.</t>
  </si>
  <si>
    <t xml:space="preserve">Crear una cuenta de cliente.</t>
  </si>
  <si>
    <t xml:space="preserve">Reales de producto por realizar</t>
  </si>
  <si>
    <t xml:space="preserve">Estimadas de producto por realizar</t>
  </si>
  <si>
    <t xml:space="preserve">Control del Sprint 1</t>
  </si>
  <si>
    <t xml:space="preserve">FoodMatch</t>
  </si>
  <si>
    <t xml:space="preserve">Historias de Usuario</t>
  </si>
  <si>
    <t xml:space="preserve">FM-HU-001 Registro de usuario</t>
  </si>
  <si>
    <t xml:space="preserve">FM-HU-002 Inicio de sesión</t>
  </si>
  <si>
    <t xml:space="preserve">FM-HU-003 Preferencias y presupuesto</t>
  </si>
  <si>
    <t xml:space="preserve">FM-HU-004 Ubicación</t>
  </si>
  <si>
    <t xml:space="preserve">FM-HU-005 Recomendaciones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</si>
</sst>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libri"/>
      <family val="2"/>
      <charset val="1"/>
    </font>
    <font>
      <sz val="20"/>
      <color rgb="FF595959"/>
      <name val="Calibri Light"/>
      <family val="2"/>
    </font>
    <font>
      <sz val="9"/>
      <color rgb="FF595959"/>
      <name val="Calibri"/>
      <family val="2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0.1"/>
        <bgColor rgb="FFD9D9D9"/>
      </patternFill>
    </fill>
    <fill>
      <patternFill patternType="solid">
        <fgColor rgb="FF2F5496"/>
        <bgColor rgb="FF595959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s-CL" sz="2000" spc="-1" strike="noStrike">
                <a:solidFill>
                  <a:srgbClr val="595959"/>
                </a:solidFill>
                <a:latin typeface="Calibri Light"/>
              </a:defRPr>
            </a:pPr>
            <a:r>
              <a:rPr b="0" lang="es-CL" sz="2000" spc="-1" strike="noStrike">
                <a:solidFill>
                  <a:srgbClr val="595959"/>
                </a:solidFill>
                <a:latin typeface="Calibri Light"/>
              </a:rPr>
              <a:t>BurnDown Trabajo Pendiente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Ejemplo1!$A$12</c:f>
              <c:strCache>
                <c:ptCount val="1"/>
                <c:pt idx="0">
                  <c:v>Reales de producto por realizar</c:v>
                </c:pt>
              </c:strCache>
            </c:strRef>
          </c:tx>
          <c:spPr>
            <a:solidFill>
              <a:srgbClr val="5b9bd5"/>
            </a:solidFill>
            <a:ln cap="rnd" w="3816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Ejemplo1!$C$4:$V$4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Ejemplo1!$B$12:$V$12</c:f>
              <c:numCache>
                <c:formatCode>General</c:formatCode>
                <c:ptCount val="21"/>
                <c:pt idx="0">
                  <c:v>106</c:v>
                </c:pt>
                <c:pt idx="1">
                  <c:v>98</c:v>
                </c:pt>
                <c:pt idx="2">
                  <c:v>92</c:v>
                </c:pt>
                <c:pt idx="3">
                  <c:v>82</c:v>
                </c:pt>
                <c:pt idx="4">
                  <c:v>73</c:v>
                </c:pt>
                <c:pt idx="5">
                  <c:v>65</c:v>
                </c:pt>
                <c:pt idx="6">
                  <c:v>60</c:v>
                </c:pt>
                <c:pt idx="7">
                  <c:v>55</c:v>
                </c:pt>
                <c:pt idx="8">
                  <c:v>52</c:v>
                </c:pt>
                <c:pt idx="9">
                  <c:v>48</c:v>
                </c:pt>
                <c:pt idx="10">
                  <c:v>45</c:v>
                </c:pt>
                <c:pt idx="11">
                  <c:v>45</c:v>
                </c:pt>
                <c:pt idx="12">
                  <c:v>41</c:v>
                </c:pt>
                <c:pt idx="13">
                  <c:v>39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27</c:v>
                </c:pt>
                <c:pt idx="18">
                  <c:v>18</c:v>
                </c:pt>
                <c:pt idx="19">
                  <c:v>6</c:v>
                </c:pt>
                <c:pt idx="2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Ejemplo1!$A$14</c:f>
              <c:strCache>
                <c:ptCount val="1"/>
                <c:pt idx="0">
                  <c:v>Estimadas de producto por realizar</c:v>
                </c:pt>
              </c:strCache>
            </c:strRef>
          </c:tx>
          <c:spPr>
            <a:solidFill>
              <a:srgbClr val="ed7d31"/>
            </a:solidFill>
            <a:ln cap="rnd" w="381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Ejemplo1!$C$4:$V$4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Ejemplo1!$B$14:$V$14</c:f>
              <c:numCache>
                <c:formatCode>General</c:formatCode>
                <c:ptCount val="21"/>
                <c:pt idx="0">
                  <c:v>106</c:v>
                </c:pt>
                <c:pt idx="1">
                  <c:v>100.7</c:v>
                </c:pt>
                <c:pt idx="2">
                  <c:v>95.4</c:v>
                </c:pt>
                <c:pt idx="3">
                  <c:v>90.1</c:v>
                </c:pt>
                <c:pt idx="4">
                  <c:v>84.8</c:v>
                </c:pt>
                <c:pt idx="5">
                  <c:v>79.5</c:v>
                </c:pt>
                <c:pt idx="6">
                  <c:v>74.2</c:v>
                </c:pt>
                <c:pt idx="7">
                  <c:v>68.9</c:v>
                </c:pt>
                <c:pt idx="8">
                  <c:v>63.6</c:v>
                </c:pt>
                <c:pt idx="9">
                  <c:v>58.3</c:v>
                </c:pt>
                <c:pt idx="10">
                  <c:v>53</c:v>
                </c:pt>
                <c:pt idx="11">
                  <c:v>47.7</c:v>
                </c:pt>
                <c:pt idx="12">
                  <c:v>42.4</c:v>
                </c:pt>
                <c:pt idx="13">
                  <c:v>37.1</c:v>
                </c:pt>
                <c:pt idx="14">
                  <c:v>31.8</c:v>
                </c:pt>
                <c:pt idx="15">
                  <c:v>26.5</c:v>
                </c:pt>
                <c:pt idx="16">
                  <c:v>21.2</c:v>
                </c:pt>
                <c:pt idx="17">
                  <c:v>15.9</c:v>
                </c:pt>
                <c:pt idx="18">
                  <c:v>10.6</c:v>
                </c:pt>
                <c:pt idx="19">
                  <c:v>5.30000000000003</c:v>
                </c:pt>
                <c:pt idx="20">
                  <c:v>3.37507799486048E-014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7325898"/>
        <c:axId val="67534654"/>
      </c:lineChart>
      <c:catAx>
        <c:axId val="2732589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es-CL" sz="9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s-CL" sz="900" spc="-1" strike="noStrike">
                    <a:solidFill>
                      <a:srgbClr val="595959"/>
                    </a:solidFill>
                    <a:latin typeface="Calibri"/>
                  </a:rPr>
                  <a:t>DIA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7534654"/>
        <c:crosses val="autoZero"/>
        <c:auto val="1"/>
        <c:lblAlgn val="ctr"/>
        <c:lblOffset val="100"/>
        <c:noMultiLvlLbl val="0"/>
      </c:catAx>
      <c:valAx>
        <c:axId val="6753465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s-CL" sz="9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s-CL" sz="900" spc="-1" strike="noStrike">
                    <a:solidFill>
                      <a:srgbClr val="595959"/>
                    </a:solidFill>
                    <a:latin typeface="Calibri"/>
                  </a:rPr>
                  <a:t>HORAS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732589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162000</xdr:colOff>
      <xdr:row>1</xdr:row>
      <xdr:rowOff>147600</xdr:rowOff>
    </xdr:from>
    <xdr:to>
      <xdr:col>28</xdr:col>
      <xdr:colOff>114120</xdr:colOff>
      <xdr:row>17</xdr:row>
      <xdr:rowOff>190080</xdr:rowOff>
    </xdr:to>
    <xdr:graphicFrame>
      <xdr:nvGraphicFramePr>
        <xdr:cNvPr id="0" name="Chart 1"/>
        <xdr:cNvGraphicFramePr/>
      </xdr:nvGraphicFramePr>
      <xdr:xfrm>
        <a:off x="8771400" y="414360"/>
        <a:ext cx="3714480" cy="3471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5" activeCellId="0" sqref="M15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25.42"/>
    <col collapsed="false" customWidth="true" hidden="false" outlineLevel="0" max="2" min="2" style="0" width="17"/>
    <col collapsed="false" customWidth="true" hidden="false" outlineLevel="0" max="3" min="3" style="0" width="4"/>
    <col collapsed="false" customWidth="true" hidden="false" outlineLevel="0" max="22" min="4" style="0" width="3.42"/>
  </cols>
  <sheetData>
    <row r="1" customFormat="false" ht="21" hidden="false" customHeight="true" outlineLevel="0" collapsed="false">
      <c r="A1" s="1" t="s">
        <v>0</v>
      </c>
      <c r="B1" s="0" t="s">
        <v>1</v>
      </c>
    </row>
    <row r="3" customFormat="false" ht="15" hidden="false" customHeight="false" outlineLevel="0" collapsed="false">
      <c r="A3" s="2" t="s">
        <v>2</v>
      </c>
      <c r="B3" s="2" t="s">
        <v>3</v>
      </c>
      <c r="C3" s="2" t="s">
        <v>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 t="s">
        <v>5</v>
      </c>
    </row>
    <row r="4" customFormat="false" ht="15" hidden="false" customHeight="false" outlineLevel="0" collapsed="false">
      <c r="A4" s="2"/>
      <c r="B4" s="2"/>
      <c r="C4" s="4" t="n">
        <v>1</v>
      </c>
      <c r="D4" s="4" t="n">
        <v>2</v>
      </c>
      <c r="E4" s="4" t="n">
        <v>3</v>
      </c>
      <c r="F4" s="4" t="n">
        <v>4</v>
      </c>
      <c r="G4" s="4" t="n">
        <v>5</v>
      </c>
      <c r="H4" s="4" t="n">
        <v>6</v>
      </c>
      <c r="I4" s="4" t="n">
        <v>7</v>
      </c>
      <c r="J4" s="4" t="n">
        <v>8</v>
      </c>
      <c r="K4" s="4" t="n">
        <v>9</v>
      </c>
      <c r="L4" s="4" t="n">
        <v>10</v>
      </c>
      <c r="M4" s="4" t="n">
        <v>11</v>
      </c>
      <c r="N4" s="4" t="n">
        <v>12</v>
      </c>
      <c r="O4" s="4" t="n">
        <v>13</v>
      </c>
      <c r="P4" s="4" t="n">
        <v>14</v>
      </c>
      <c r="Q4" s="4" t="n">
        <v>15</v>
      </c>
      <c r="R4" s="4" t="n">
        <v>16</v>
      </c>
      <c r="S4" s="4" t="n">
        <v>17</v>
      </c>
      <c r="T4" s="4" t="n">
        <v>18</v>
      </c>
      <c r="U4" s="4" t="n">
        <v>19</v>
      </c>
      <c r="V4" s="4" t="n">
        <v>20</v>
      </c>
      <c r="W4" s="3"/>
    </row>
    <row r="5" customFormat="false" ht="15" hidden="false" customHeight="false" outlineLevel="0" collapsed="false">
      <c r="A5" s="5" t="s">
        <v>6</v>
      </c>
      <c r="B5" s="6" t="n">
        <v>8</v>
      </c>
      <c r="C5" s="7" t="n">
        <v>2</v>
      </c>
      <c r="D5" s="8" t="n">
        <v>2</v>
      </c>
      <c r="E5" s="8" t="n">
        <v>2</v>
      </c>
      <c r="F5" s="8" t="n">
        <v>1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 t="n">
        <v>1</v>
      </c>
      <c r="W5" s="4" t="n">
        <f aca="false">SUM(C5:V5)</f>
        <v>8</v>
      </c>
    </row>
    <row r="6" customFormat="false" ht="15" hidden="false" customHeight="false" outlineLevel="0" collapsed="false">
      <c r="A6" s="9" t="s">
        <v>7</v>
      </c>
      <c r="B6" s="10" t="n">
        <v>24</v>
      </c>
      <c r="C6" s="11" t="n">
        <v>6</v>
      </c>
      <c r="D6" s="0" t="n">
        <v>4</v>
      </c>
      <c r="E6" s="0" t="n">
        <v>2</v>
      </c>
      <c r="F6" s="0" t="n">
        <v>2</v>
      </c>
      <c r="H6" s="0" t="n">
        <v>2</v>
      </c>
      <c r="I6" s="0" t="n">
        <v>2</v>
      </c>
      <c r="K6" s="0" t="n">
        <v>2</v>
      </c>
      <c r="L6" s="0" t="n">
        <v>3</v>
      </c>
      <c r="V6" s="0" t="n">
        <v>1</v>
      </c>
      <c r="W6" s="12" t="n">
        <f aca="false">SUM(C6:V6)</f>
        <v>24</v>
      </c>
    </row>
    <row r="7" customFormat="false" ht="15" hidden="false" customHeight="false" outlineLevel="0" collapsed="false">
      <c r="A7" s="13" t="s">
        <v>8</v>
      </c>
      <c r="B7" s="14" t="n">
        <v>34</v>
      </c>
      <c r="C7" s="11"/>
      <c r="E7" s="0" t="n">
        <v>6</v>
      </c>
      <c r="F7" s="0" t="n">
        <v>6</v>
      </c>
      <c r="G7" s="0" t="n">
        <v>8</v>
      </c>
      <c r="H7" s="0" t="n">
        <v>3</v>
      </c>
      <c r="I7" s="0" t="n">
        <v>3</v>
      </c>
      <c r="J7" s="0" t="n">
        <v>3</v>
      </c>
      <c r="K7" s="0" t="n">
        <v>2</v>
      </c>
      <c r="T7" s="0" t="n">
        <v>1</v>
      </c>
      <c r="U7" s="0" t="n">
        <v>1</v>
      </c>
      <c r="V7" s="0" t="n">
        <v>1</v>
      </c>
      <c r="W7" s="12" t="n">
        <f aca="false">SUM(C7:V7)</f>
        <v>34</v>
      </c>
    </row>
    <row r="8" customFormat="false" ht="15" hidden="false" customHeight="false" outlineLevel="0" collapsed="false">
      <c r="A8" s="9" t="s">
        <v>9</v>
      </c>
      <c r="B8" s="10" t="n">
        <v>14</v>
      </c>
      <c r="C8" s="11"/>
      <c r="N8" s="0" t="n">
        <v>4</v>
      </c>
      <c r="O8" s="0" t="n">
        <v>2</v>
      </c>
      <c r="P8" s="0" t="n">
        <v>2</v>
      </c>
      <c r="U8" s="0" t="n">
        <v>5</v>
      </c>
      <c r="V8" s="0" t="n">
        <v>1</v>
      </c>
      <c r="W8" s="12" t="n">
        <f aca="false">SUM(C8:V8)</f>
        <v>14</v>
      </c>
    </row>
    <row r="9" customFormat="false" ht="15" hidden="false" customHeight="false" outlineLevel="0" collapsed="false">
      <c r="A9" s="9" t="s">
        <v>10</v>
      </c>
      <c r="B9" s="10" t="n">
        <v>10</v>
      </c>
      <c r="C9" s="11"/>
      <c r="S9" s="0" t="n">
        <v>4</v>
      </c>
      <c r="T9" s="0" t="n">
        <v>4</v>
      </c>
      <c r="U9" s="0" t="n">
        <v>1</v>
      </c>
      <c r="V9" s="0" t="n">
        <v>1</v>
      </c>
      <c r="W9" s="12" t="n">
        <f aca="false">SUM(C9:V9)</f>
        <v>10</v>
      </c>
    </row>
    <row r="10" customFormat="false" ht="15" hidden="false" customHeight="false" outlineLevel="0" collapsed="false">
      <c r="A10" s="9" t="s">
        <v>11</v>
      </c>
      <c r="B10" s="10" t="n">
        <v>16</v>
      </c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 t="n">
        <v>2</v>
      </c>
      <c r="Q10" s="16"/>
      <c r="R10" s="16"/>
      <c r="S10" s="16" t="n">
        <v>4</v>
      </c>
      <c r="T10" s="16" t="n">
        <v>4</v>
      </c>
      <c r="U10" s="16" t="n">
        <v>5</v>
      </c>
      <c r="V10" s="16" t="n">
        <v>1</v>
      </c>
      <c r="W10" s="17" t="n">
        <f aca="false">SUM(C10:V10)</f>
        <v>16</v>
      </c>
    </row>
    <row r="12" customFormat="false" ht="30" hidden="false" customHeight="true" outlineLevel="0" collapsed="false">
      <c r="A12" s="18" t="s">
        <v>12</v>
      </c>
      <c r="B12" s="0" t="n">
        <f aca="false">SUM(B5:B11)</f>
        <v>106</v>
      </c>
      <c r="C12" s="0" t="n">
        <f aca="false">B12-SUM(C5:C10)</f>
        <v>98</v>
      </c>
      <c r="D12" s="0" t="n">
        <f aca="false">C12-SUM(D5:D10)</f>
        <v>92</v>
      </c>
      <c r="E12" s="0" t="n">
        <f aca="false">D12-SUM(E5:E10)</f>
        <v>82</v>
      </c>
      <c r="F12" s="0" t="n">
        <f aca="false">E12-SUM(F5:F10)</f>
        <v>73</v>
      </c>
      <c r="G12" s="0" t="n">
        <f aca="false">F12-SUM(G5:G10)</f>
        <v>65</v>
      </c>
      <c r="H12" s="0" t="n">
        <f aca="false">G12-SUM(H5:H10)</f>
        <v>60</v>
      </c>
      <c r="I12" s="0" t="n">
        <f aca="false">H12-SUM(I5:I10)</f>
        <v>55</v>
      </c>
      <c r="J12" s="0" t="n">
        <f aca="false">I12-SUM(J5:J10)</f>
        <v>52</v>
      </c>
      <c r="K12" s="0" t="n">
        <f aca="false">J12-SUM(K5:K10)</f>
        <v>48</v>
      </c>
      <c r="L12" s="0" t="n">
        <f aca="false">K12-SUM(L5:L10)</f>
        <v>45</v>
      </c>
      <c r="M12" s="0" t="n">
        <f aca="false">L12-SUM(M5:M10)</f>
        <v>45</v>
      </c>
      <c r="N12" s="0" t="n">
        <f aca="false">M12-SUM(N5:N10)</f>
        <v>41</v>
      </c>
      <c r="O12" s="0" t="n">
        <f aca="false">N12-SUM(O5:O10)</f>
        <v>39</v>
      </c>
      <c r="P12" s="0" t="n">
        <f aca="false">O12-SUM(P5:P10)</f>
        <v>35</v>
      </c>
      <c r="Q12" s="0" t="n">
        <f aca="false">P12-SUM(Q5:Q10)</f>
        <v>35</v>
      </c>
      <c r="R12" s="0" t="n">
        <f aca="false">Q12-SUM(R5:R10)</f>
        <v>35</v>
      </c>
      <c r="S12" s="0" t="n">
        <f aca="false">R12-SUM(S5:S10)</f>
        <v>27</v>
      </c>
      <c r="T12" s="0" t="n">
        <f aca="false">S12-SUM(T5:T10)</f>
        <v>18</v>
      </c>
      <c r="U12" s="0" t="n">
        <f aca="false">T12-SUM(U5:U10)</f>
        <v>6</v>
      </c>
      <c r="V12" s="0" t="n">
        <f aca="false">U12-SUM(V5:V10)</f>
        <v>0</v>
      </c>
    </row>
    <row r="14" customFormat="false" ht="30" hidden="false" customHeight="true" outlineLevel="0" collapsed="false">
      <c r="A14" s="18" t="s">
        <v>13</v>
      </c>
      <c r="B14" s="0" t="n">
        <f aca="false">SUM(B5:B10)</f>
        <v>106</v>
      </c>
      <c r="C14" s="0" t="n">
        <f aca="false">B14-(SUM($B$5:$B$10)/20)</f>
        <v>100.7</v>
      </c>
      <c r="D14" s="0" t="n">
        <f aca="false">C14-(SUM($B$5:$B$10)/20)</f>
        <v>95.4</v>
      </c>
      <c r="E14" s="0" t="n">
        <f aca="false">D14-(SUM($B$5:$B$10)/20)</f>
        <v>90.1</v>
      </c>
      <c r="F14" s="0" t="n">
        <f aca="false">E14-(SUM($B$5:$B$10)/20)</f>
        <v>84.8</v>
      </c>
      <c r="G14" s="0" t="n">
        <f aca="false">F14-(SUM($B$5:$B$10)/20)</f>
        <v>79.5</v>
      </c>
      <c r="H14" s="0" t="n">
        <f aca="false">G14-(SUM($B$5:$B$10)/20)</f>
        <v>74.2</v>
      </c>
      <c r="I14" s="0" t="n">
        <f aca="false">H14-(SUM($B$5:$B$10)/20)</f>
        <v>68.9</v>
      </c>
      <c r="J14" s="0" t="n">
        <f aca="false">I14-(SUM($B$5:$B$10)/20)</f>
        <v>63.6</v>
      </c>
      <c r="K14" s="0" t="n">
        <f aca="false">J14-(SUM($B$5:$B$10)/20)</f>
        <v>58.3</v>
      </c>
      <c r="L14" s="0" t="n">
        <f aca="false">K14-(SUM($B$5:$B$10)/20)</f>
        <v>53</v>
      </c>
      <c r="M14" s="0" t="n">
        <f aca="false">L14-(SUM($B$5:$B$10)/20)</f>
        <v>47.7</v>
      </c>
      <c r="N14" s="0" t="n">
        <f aca="false">M14-(SUM($B$5:$B$10)/20)</f>
        <v>42.4</v>
      </c>
      <c r="O14" s="0" t="n">
        <f aca="false">N14-(SUM($B$5:$B$10)/20)</f>
        <v>37.1</v>
      </c>
      <c r="P14" s="0" t="n">
        <f aca="false">O14-(SUM($B$5:$B$10)/20)</f>
        <v>31.8</v>
      </c>
      <c r="Q14" s="0" t="n">
        <f aca="false">P14-(SUM($B$5:$B$10)/20)</f>
        <v>26.5</v>
      </c>
      <c r="R14" s="0" t="n">
        <f aca="false">Q14-(SUM($B$5:$B$10)/20)</f>
        <v>21.2</v>
      </c>
      <c r="S14" s="0" t="n">
        <f aca="false">R14-(SUM($B$5:$B$10)/20)</f>
        <v>15.9</v>
      </c>
      <c r="T14" s="0" t="n">
        <f aca="false">S14-(SUM($B$5:$B$10)/20)</f>
        <v>10.6</v>
      </c>
      <c r="U14" s="0" t="n">
        <f aca="false">T14-(SUM($B$5:$B$10)/20)</f>
        <v>5.30000000000003</v>
      </c>
      <c r="V14" s="0" t="n">
        <f aca="false">U14-(SUM($B$5:$B$10)/20)</f>
        <v>3.37507799486048E-014</v>
      </c>
    </row>
    <row r="16" customFormat="false" ht="15" hidden="false" customHeight="false" outlineLevel="0" collapsed="false">
      <c r="B16" s="19"/>
    </row>
    <row r="17" customFormat="false" ht="15" hidden="false" customHeight="false" outlineLevel="0" collapsed="false">
      <c r="B17" s="19"/>
      <c r="G17" s="19"/>
    </row>
    <row r="18" customFormat="false" ht="15" hidden="false" customHeight="false" outlineLevel="0" collapsed="false">
      <c r="B18" s="19"/>
      <c r="G18" s="19"/>
    </row>
    <row r="19" customFormat="false" ht="15" hidden="false" customHeight="false" outlineLevel="0" collapsed="false">
      <c r="B19" s="19"/>
      <c r="G19" s="19"/>
    </row>
    <row r="20" customFormat="false" ht="15" hidden="false" customHeight="false" outlineLevel="0" collapsed="false">
      <c r="B20" s="19"/>
      <c r="G20" s="19"/>
    </row>
    <row r="21" customFormat="false" ht="15" hidden="false" customHeight="false" outlineLevel="0" collapsed="false">
      <c r="B21" s="19"/>
      <c r="G21" s="19"/>
    </row>
    <row r="22" customFormat="false" ht="15" hidden="false" customHeight="false" outlineLevel="0" collapsed="false">
      <c r="B22" s="19"/>
      <c r="G22" s="19"/>
    </row>
    <row r="23" customFormat="false" ht="15" hidden="false" customHeight="false" outlineLevel="0" collapsed="false">
      <c r="B23" s="19"/>
    </row>
    <row r="24" customFormat="false" ht="15" hidden="false" customHeight="false" outlineLevel="0" collapsed="false">
      <c r="B24" s="19"/>
    </row>
    <row r="25" customFormat="false" ht="15" hidden="false" customHeight="false" outlineLevel="0" collapsed="false">
      <c r="B25" s="19"/>
    </row>
  </sheetData>
  <mergeCells count="4">
    <mergeCell ref="A3:A4"/>
    <mergeCell ref="B3:B4"/>
    <mergeCell ref="C3:V3"/>
    <mergeCell ref="W3:W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17.35" hidden="false" customHeight="false" outlineLevel="0" collapsed="false">
      <c r="A1" s="20" t="s">
        <v>14</v>
      </c>
      <c r="B1" s="0" t="s">
        <v>15</v>
      </c>
    </row>
    <row r="3" customFormat="false" ht="15" hidden="false" customHeight="false" outlineLevel="0" collapsed="false">
      <c r="A3" s="21" t="s">
        <v>16</v>
      </c>
      <c r="B3" s="21" t="s">
        <v>3</v>
      </c>
      <c r="C3" s="22" t="s">
        <v>4</v>
      </c>
      <c r="D3" s="22"/>
      <c r="E3" s="22"/>
      <c r="F3" s="22"/>
      <c r="G3" s="22"/>
      <c r="H3" s="21" t="s">
        <v>5</v>
      </c>
    </row>
    <row r="4" customFormat="false" ht="15" hidden="false" customHeight="false" outlineLevel="0" collapsed="false">
      <c r="C4" s="23" t="n">
        <v>1</v>
      </c>
      <c r="D4" s="23" t="n">
        <v>2</v>
      </c>
      <c r="E4" s="23" t="n">
        <v>3</v>
      </c>
      <c r="F4" s="23" t="n">
        <v>4</v>
      </c>
      <c r="G4" s="23" t="n">
        <v>5</v>
      </c>
    </row>
    <row r="5" customFormat="false" ht="15" hidden="false" customHeight="false" outlineLevel="0" collapsed="false">
      <c r="A5" s="24" t="s">
        <v>17</v>
      </c>
      <c r="B5" s="24" t="n">
        <v>8</v>
      </c>
      <c r="C5" s="24" t="n">
        <v>4</v>
      </c>
      <c r="D5" s="24" t="n">
        <v>4</v>
      </c>
      <c r="E5" s="24" t="n">
        <v>0</v>
      </c>
      <c r="F5" s="24" t="n">
        <v>0</v>
      </c>
      <c r="G5" s="24" t="n">
        <v>0</v>
      </c>
      <c r="H5" s="24" t="n">
        <f aca="false">SUM(C5:G5)</f>
        <v>8</v>
      </c>
    </row>
    <row r="6" customFormat="false" ht="15" hidden="false" customHeight="false" outlineLevel="0" collapsed="false">
      <c r="A6" s="24" t="s">
        <v>18</v>
      </c>
      <c r="B6" s="24" t="n">
        <v>7</v>
      </c>
      <c r="C6" s="24" t="n">
        <v>1</v>
      </c>
      <c r="D6" s="24" t="n">
        <v>2</v>
      </c>
      <c r="E6" s="24" t="n">
        <v>4</v>
      </c>
      <c r="F6" s="24" t="n">
        <v>0</v>
      </c>
      <c r="G6" s="24" t="n">
        <v>0</v>
      </c>
      <c r="H6" s="24" t="n">
        <f aca="false">SUM(C6:G6)</f>
        <v>7</v>
      </c>
    </row>
    <row r="7" customFormat="false" ht="15" hidden="false" customHeight="false" outlineLevel="0" collapsed="false">
      <c r="A7" s="24" t="s">
        <v>19</v>
      </c>
      <c r="B7" s="24" t="n">
        <v>8</v>
      </c>
      <c r="C7" s="24" t="n">
        <v>0</v>
      </c>
      <c r="D7" s="24" t="n">
        <v>2</v>
      </c>
      <c r="E7" s="24" t="n">
        <v>2</v>
      </c>
      <c r="F7" s="24" t="n">
        <v>4</v>
      </c>
      <c r="G7" s="24" t="n">
        <v>0</v>
      </c>
      <c r="H7" s="24" t="n">
        <f aca="false">SUM(C7:G7)</f>
        <v>8</v>
      </c>
    </row>
    <row r="8" customFormat="false" ht="15" hidden="false" customHeight="false" outlineLevel="0" collapsed="false">
      <c r="A8" s="24" t="s">
        <v>20</v>
      </c>
      <c r="B8" s="24" t="n">
        <v>10</v>
      </c>
      <c r="C8" s="24" t="n">
        <v>0</v>
      </c>
      <c r="D8" s="24" t="n">
        <v>0</v>
      </c>
      <c r="E8" s="24" t="n">
        <v>2</v>
      </c>
      <c r="F8" s="24" t="n">
        <v>4</v>
      </c>
      <c r="G8" s="24" t="n">
        <v>1</v>
      </c>
      <c r="H8" s="24" t="n">
        <f aca="false">SUM(C8:G8)</f>
        <v>7</v>
      </c>
    </row>
    <row r="9" customFormat="false" ht="15" hidden="false" customHeight="false" outlineLevel="0" collapsed="false">
      <c r="A9" s="24" t="s">
        <v>21</v>
      </c>
      <c r="B9" s="24" t="n">
        <v>13</v>
      </c>
      <c r="C9" s="24" t="n">
        <v>0</v>
      </c>
      <c r="D9" s="24" t="n">
        <v>0</v>
      </c>
      <c r="E9" s="24" t="n">
        <v>0</v>
      </c>
      <c r="F9" s="24" t="n">
        <v>2</v>
      </c>
      <c r="G9" s="24" t="n">
        <v>4</v>
      </c>
      <c r="H9" s="24" t="n">
        <f aca="false">SUM(C9:G9)</f>
        <v>6</v>
      </c>
    </row>
    <row r="11" customFormat="false" ht="15" hidden="false" customHeight="false" outlineLevel="0" collapsed="false">
      <c r="A11" s="25" t="s">
        <v>12</v>
      </c>
      <c r="B11" s="0" t="n">
        <f aca="false">SUM(B5:B9)</f>
        <v>46</v>
      </c>
      <c r="C11" s="0" t="n">
        <f aca="false">B11-SUM(C5:C9)</f>
        <v>41</v>
      </c>
      <c r="D11" s="0" t="n">
        <f aca="false">C11-SUM(D5:D9)</f>
        <v>33</v>
      </c>
      <c r="E11" s="0" t="n">
        <f aca="false">D11-SUM(E5:E9)</f>
        <v>25</v>
      </c>
      <c r="F11" s="0" t="n">
        <f aca="false">E11-SUM(F5:F9)</f>
        <v>15</v>
      </c>
      <c r="G11" s="0" t="n">
        <f aca="false">F11-SUM(G5:G9)</f>
        <v>10</v>
      </c>
    </row>
    <row r="13" customFormat="false" ht="15" hidden="false" customHeight="false" outlineLevel="0" collapsed="false">
      <c r="A13" s="25" t="s">
        <v>13</v>
      </c>
      <c r="B13" s="0" t="n">
        <f aca="false">SUM(B5:B9)</f>
        <v>46</v>
      </c>
      <c r="C13" s="0" t="n">
        <f aca="false">B13-(SUM($B$5:$B$9)/5)</f>
        <v>36.8</v>
      </c>
      <c r="D13" s="0" t="n">
        <f aca="false">C13-(SUM($B$5:$B$9)/5)</f>
        <v>27.6</v>
      </c>
      <c r="E13" s="0" t="n">
        <f aca="false">D13-(SUM($B$5:$B$9)/5)</f>
        <v>18.4</v>
      </c>
      <c r="F13" s="0" t="n">
        <f aca="false">E13-(SUM($B$5:$B$9)/5)</f>
        <v>9.2</v>
      </c>
      <c r="G13" s="0" t="n">
        <f aca="false">F13-(SUM($B$5:$B$9)/5)</f>
        <v>0</v>
      </c>
    </row>
  </sheetData>
  <mergeCells count="1">
    <mergeCell ref="C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  <dc:description/>
  <dc:language>en-US</dc:language>
  <cp:lastModifiedBy/>
  <dcterms:modified xsi:type="dcterms:W3CDTF">2026-10-03T20:26:22Z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